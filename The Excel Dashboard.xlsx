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205"/>
  </bookViews>
  <sheets>
    <sheet name="Incident Log" sheetId="1" r:id="rId1"/>
    <sheet name="KPI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<sst xmlns="http://schemas.openxmlformats.org/spreadsheetml/2006/main" count="47" uniqueCount="43">
  <si>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Ticket ID</t>
  </si>
  <si>
    <t>Date</t>
  </si>
  <si>
    <t>Customer/Address</t>
  </si>
  <si>
    <t>Fault Domain</t>
  </si>
  <si>
    <t>Symptom</t>
  </si>
  <si>
    <t>Diagnostic Action</t>
  </si>
  <si>
    <t>Resolution</t>
  </si>
  <si>
    <t>Time to Restore (Hours)</t>
  </si>
  <si>
    <t>SLA Met?</t>
  </si>
  <si>
    <t xml:space="preserve">TKT-001 </t>
  </si>
  <si>
    <t>Villa 42, Al Bateen</t>
  </si>
  <si>
    <t xml:space="preserve"> Drop Cable</t>
  </si>
  <si>
    <t>LOS Red Alarm</t>
  </si>
  <si>
    <t>Tested power at ONT (-32dBm)</t>
  </si>
  <si>
    <t>Re-spliced drop cable, power now -21dBm</t>
  </si>
  <si>
    <t>Yes</t>
  </si>
  <si>
    <t>TKT-002</t>
  </si>
  <si>
    <t>Apartment 5B, Al Reem</t>
  </si>
  <si>
    <t>Wi-Fi Device</t>
  </si>
  <si>
    <t>Slow Wi-Fi (Ethernet works)</t>
  </si>
  <si>
    <t>Changed router channel to 5GHz, optimized placement</t>
  </si>
  <si>
    <t>TKT-003</t>
  </si>
  <si>
    <t>Office 12, Business Bay</t>
  </si>
  <si>
    <t>ONT</t>
  </si>
  <si>
    <t>PON Light Blinking</t>
  </si>
  <si>
    <t>Verified serial number and provisioning in OLT</t>
  </si>
  <si>
    <t>Registered ONT serial number in system, service restored</t>
  </si>
  <si>
    <t>TKT-004</t>
  </si>
  <si>
    <t>Villa 88, Khalifa City</t>
  </si>
  <si>
    <t xml:space="preserve"> Splitter</t>
  </si>
  <si>
    <t xml:space="preserve"> Low optical power at ONT</t>
  </si>
  <si>
    <t xml:space="preserve"> Measured power at FDH (-28dBm)</t>
  </si>
  <si>
    <t>Escalated to OSP team for splitter port replacement</t>
  </si>
  <si>
    <t xml:space="preserve">No </t>
  </si>
  <si>
    <t>TKT-005</t>
  </si>
  <si>
    <t xml:space="preserve"> Villa 14, Al Bateen</t>
  </si>
  <si>
    <t>Customer Router</t>
  </si>
  <si>
    <t xml:space="preserve">No IP Address on devices
</t>
  </si>
  <si>
    <t>Checked router DHCP settings and IP config</t>
  </si>
  <si>
    <t>Rebooted router, DHCP lease renewed</t>
  </si>
  <si>
    <t>Total Tickets Resolved</t>
  </si>
  <si>
    <t>Average Time to Restore</t>
  </si>
  <si>
    <t>SLA Compliance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</si>
</sst>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rgb="FF0F1115"/>
      <name val="Calibri"/>
      <charset val="134"/>
      <scheme val="minor"/>
    </font>
    <font>
      <b/>
      <sz val="10"/>
      <color rgb="FF0F1115"/>
      <name val="Calibri"/>
      <charset val="134"/>
      <scheme val="minor"/>
    </font>
    <font>
      <sz val="11"/>
      <color rgb="FF0F1115"/>
      <name val="Calibri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58" fontId="0" fillId="0" borderId="0" xfId="0" applyNumberFormat="1" applyFont="1">
      <alignment vertical="center"/>
    </xf>
    <xf numFmtId="0" fontId="5" fillId="0" borderId="0" xfId="0" applyFont="1">
      <alignment vertical="center"/>
    </xf>
    <xf numFmtId="58" fontId="5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H4" sqref="H4"/>
    </sheetView>
  </sheetViews>
  <sheetFormatPr defaultColWidth="9.14285714285714" defaultRowHeight="15" outlineLevelRow="6"/>
  <cols>
    <col min="1" max="1" width="13.1428571428571" customWidth="1"/>
    <col min="2" max="2" width="15" style="3" customWidth="1"/>
    <col min="3" max="3" width="26.4285714285714" customWidth="1"/>
    <col min="4" max="4" width="12" customWidth="1"/>
    <col min="5" max="5" width="31.1428571428571" customWidth="1"/>
    <col min="6" max="6" width="31" customWidth="1"/>
    <col min="7" max="7" width="42" customWidth="1"/>
    <col min="8" max="8" width="25.1428571428571" customWidth="1"/>
  </cols>
  <sheetData>
    <row r="1" s="1" customFormat="1" ht="15.75" spans="1:9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="2" customFormat="1" spans="1:9">
      <c r="A2" s="2" t="s">
        <v>9</v>
      </c>
      <c r="B2" s="7">
        <v>46310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2.5</v>
      </c>
      <c r="I2" s="2" t="s">
        <v>15</v>
      </c>
    </row>
    <row r="3" s="2" customFormat="1" spans="1:9">
      <c r="A3" s="8" t="s">
        <v>16</v>
      </c>
      <c r="B3" s="9">
        <v>46311</v>
      </c>
      <c r="C3" s="8" t="s">
        <v>17</v>
      </c>
      <c r="D3" s="10" t="s">
        <v>18</v>
      </c>
      <c r="E3" s="8" t="s">
        <v>19</v>
      </c>
      <c r="F3" s="10" t="s">
        <v>20</v>
      </c>
      <c r="G3" s="10" t="s">
        <v>20</v>
      </c>
      <c r="H3" s="8">
        <v>1.5</v>
      </c>
      <c r="I3" s="8" t="s">
        <v>15</v>
      </c>
    </row>
    <row r="4" s="2" customFormat="1" spans="1:9">
      <c r="A4" s="8" t="s">
        <v>21</v>
      </c>
      <c r="B4" s="9">
        <v>46312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3</v>
      </c>
      <c r="I4" s="2" t="s">
        <v>15</v>
      </c>
    </row>
    <row r="5" s="2" customFormat="1" spans="1:9">
      <c r="A5" s="2" t="s">
        <v>27</v>
      </c>
      <c r="B5" s="9">
        <v>46313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>
        <v>8</v>
      </c>
      <c r="I5" s="2" t="s">
        <v>33</v>
      </c>
    </row>
    <row r="6" s="2" customFormat="1" ht="17" customHeight="1" spans="1:9">
      <c r="A6" s="2" t="s">
        <v>34</v>
      </c>
      <c r="B6" s="9">
        <v>46314</v>
      </c>
      <c r="C6" s="2" t="s">
        <v>35</v>
      </c>
      <c r="D6" s="2" t="s">
        <v>36</v>
      </c>
      <c r="E6" s="11" t="s">
        <v>37</v>
      </c>
      <c r="F6" s="8" t="s">
        <v>38</v>
      </c>
      <c r="G6" s="2" t="s">
        <v>39</v>
      </c>
      <c r="H6" s="2">
        <v>1</v>
      </c>
      <c r="I6" s="2" t="s">
        <v>15</v>
      </c>
    </row>
    <row r="7" ht="17.25" spans="1:9">
      <c r="C7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.14285714285714" defaultRowHeight="15" outlineLevelRow="2" outlineLevelCol="1"/>
  <cols>
    <col min="1" max="1" width="29" customWidth="1"/>
    <col min="2" max="2" width="24.8571428571429" customWidth="1"/>
  </cols>
  <sheetData>
    <row r="1" spans="1:2">
      <c r="A1" t="s">
        <v>40</v>
      </c>
      <c r="B1">
        <f>COUNTA('Incident Log'!A2:A6)</f>
        <v>5</v>
      </c>
    </row>
    <row r="2" spans="1:2">
      <c r="A2" t="s">
        <v>41</v>
      </c>
      <c r="B2">
        <f>AVERAGE('Incident Log'!H2:H6)</f>
        <v>3.2</v>
      </c>
    </row>
    <row r="3" spans="1:2">
      <c r="A3" t="s">
        <v>42</v>
      </c>
      <c r="B3">
        <f>COUNTIF('Incident Log'!I2:I6,"Yes")/COUNTA('Incident Log'!I2:I6)</f>
        <v>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Incident Log</vt:lpstr>
      <vt:lpstr>KPI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olabode olaniyi</cp:lastModifiedBy>
  <dcterms:created xsi:type="dcterms:W3CDTF">2026-10-27T16:21:04Z</dcterms:created>
  <dcterms:modified xsi:type="dcterms:W3CDTF">2026-10-27T17:14:19Z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E575722D9EAB4F899999941AE4F4D435_11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